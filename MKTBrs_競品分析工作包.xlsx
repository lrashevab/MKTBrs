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家總覽" sheetId="1" state="visible" r:id="rId1"/>
    <sheet xmlns:r="http://schemas.openxmlformats.org/officeDocument/2006/relationships" name="競品數據追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877F2"/>
      <sz val="9"/>
      <u val="single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877F2"/>
      </patternFill>
    </fill>
    <fill>
      <patternFill patternType="solid">
        <fgColor rgb="00C13584"/>
      </patternFill>
    </fill>
    <fill>
      <patternFill patternType="solid">
        <fgColor rgb="00FF0000"/>
      </patternFill>
    </fill>
    <fill>
      <patternFill patternType="solid">
        <fgColor rgb="002D6A4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active_status=all&amp;ad_type=all&amp;country=TW&amp;view_all_page_id=155381434648518&amp;search_type=page&amp;media_type=all" TargetMode="External" Id="rId1"/><Relationship Type="http://schemas.openxmlformats.org/officeDocument/2006/relationships/hyperlink" Target="https://www.facebook.com/ads/library/?active_status=all&amp;ad_type=all&amp;country=TW&amp;view_all_page_id=110845790371563&amp;search_type=page&amp;media_type=all" TargetMode="External" Id="rId2"/><Relationship Type="http://schemas.openxmlformats.org/officeDocument/2006/relationships/hyperlink" Target="https://www.facebook.com/ads/library/?active_status=all&amp;ad_type=all&amp;country=TW&amp;q=%E6%96%91%E9%A6%AC%E5%85%A9%E6%80%A7&amp;search_type=keyword_unordered&amp;media_type=all" TargetMode="External" Id="rId3"/><Relationship Type="http://schemas.openxmlformats.org/officeDocument/2006/relationships/hyperlink" Target="https://www.facebook.com/ads/library/?active_status=all&amp;ad_type=all&amp;country=TW&amp;view_all_page_id=102940652715715&amp;search_type=page&amp;media_type=all" TargetMode="External" Id="rId4"/><Relationship Type="http://schemas.openxmlformats.org/officeDocument/2006/relationships/hyperlink" Target="https://www.facebook.com/ads/library/?active_status=all&amp;ad_type=all&amp;country=TW&amp;q=%E6%88%80%E6%84%9B%E7%94%9F%E6%B4%BB%E5%9C%88&amp;search_type=keyword_unordered&amp;media_type=al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35" customWidth="1" min="4" max="4"/>
    <col width="30" customWidth="1" min="5" max="5"/>
  </cols>
  <sheetData>
    <row r="1" ht="25" customHeight="1">
      <c r="A1" s="1" t="inlineStr">
        <is>
          <t>#</t>
        </is>
      </c>
      <c r="B1" s="1" t="inlineStr">
        <is>
          <t>品牌名稱</t>
        </is>
      </c>
      <c r="C1" s="1" t="inlineStr">
        <is>
          <t>官網</t>
        </is>
      </c>
      <c r="D1" s="1" t="inlineStr">
        <is>
          <t>FB 廣告庫</t>
        </is>
      </c>
      <c r="E1" s="1" t="inlineStr">
        <is>
          <t>Logo 路徑</t>
        </is>
      </c>
    </row>
    <row r="2">
      <c r="A2" s="2" t="n">
        <v>1</v>
      </c>
      <c r="B2" s="2" t="inlineStr">
        <is>
          <t>東區德</t>
        </is>
      </c>
      <c r="C2" s="3" t="inlineStr">
        <is>
          <t>https://dio3212.kaik.io</t>
        </is>
      </c>
      <c r="D2" s="4" t="inlineStr">
        <is>
          <t>點我開啟廣告庫</t>
        </is>
      </c>
      <c r="E2" s="2" t="inlineStr">
        <is>
          <t>logos/東區德.png</t>
        </is>
      </c>
    </row>
    <row r="3">
      <c r="A3" s="5" t="n">
        <v>2</v>
      </c>
      <c r="B3" s="5" t="inlineStr">
        <is>
          <t>UC Training</t>
        </is>
      </c>
      <c r="C3" s="6" t="inlineStr">
        <is>
          <t>https://uctraining.cc</t>
        </is>
      </c>
      <c r="D3" s="7" t="inlineStr">
        <is>
          <t>點我開啟廣告庫</t>
        </is>
      </c>
      <c r="E3" s="5" t="inlineStr">
        <is>
          <t>logos/UC Training.ico</t>
        </is>
      </c>
    </row>
    <row r="4">
      <c r="A4" s="2" t="n">
        <v>3</v>
      </c>
      <c r="B4" s="2" t="inlineStr">
        <is>
          <t>斑馬兩性</t>
        </is>
      </c>
      <c r="C4" s="3" t="inlineStr">
        <is>
          <t>https://zebrapua.com</t>
        </is>
      </c>
      <c r="D4" s="4" t="inlineStr">
        <is>
          <t>點我開啟廣告庫</t>
        </is>
      </c>
      <c r="E4" s="2" t="inlineStr">
        <is>
          <t>未找到</t>
        </is>
      </c>
    </row>
    <row r="5">
      <c r="A5" s="5" t="n">
        <v>4</v>
      </c>
      <c r="B5" s="5" t="inlineStr">
        <is>
          <t>想想交友</t>
        </is>
      </c>
      <c r="C5" s="6" t="inlineStr">
        <is>
          <t>https://flowgalaxy.tw</t>
        </is>
      </c>
      <c r="D5" s="7" t="inlineStr">
        <is>
          <t>點我開啟廣告庫</t>
        </is>
      </c>
      <c r="E5" s="5" t="inlineStr">
        <is>
          <t>logos/想想交友.png</t>
        </is>
      </c>
    </row>
    <row r="6">
      <c r="A6" s="2" t="n">
        <v>5</v>
      </c>
      <c r="B6" s="2" t="inlineStr">
        <is>
          <t>戀愛生活圈</t>
        </is>
      </c>
      <c r="C6" s="3" t="inlineStr">
        <is>
          <t>https://blog.uctraining.cc</t>
        </is>
      </c>
      <c r="D6" s="4" t="inlineStr">
        <is>
          <t>點我開啟廣告庫</t>
        </is>
      </c>
      <c r="E6" s="2" t="inlineStr">
        <is>
          <t>logos/戀愛生活圈.png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3" customWidth="1" min="9" max="9"/>
    <col width="12" customWidth="1" min="10" max="10"/>
    <col width="14" customWidth="1" min="11" max="11"/>
    <col width="14" customWidth="1" min="12" max="12"/>
    <col width="13" customWidth="1" min="13" max="13"/>
    <col width="14" customWidth="1" min="14" max="14"/>
    <col width="14" customWidth="1" min="15" max="15"/>
    <col width="13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20" customWidth="1" min="27" max="27"/>
  </cols>
  <sheetData>
    <row r="1" ht="22" customHeight="1">
      <c r="A1" s="8" t="inlineStr">
        <is>
          <t>基本資料</t>
        </is>
      </c>
      <c r="B1" s="23" t="n"/>
      <c r="C1" s="10" t="inlineStr">
        <is>
          <t>Facebook</t>
        </is>
      </c>
      <c r="D1" s="24" t="n"/>
      <c r="E1" s="24" t="n"/>
      <c r="F1" s="24" t="n"/>
      <c r="G1" s="24" t="n"/>
      <c r="H1" s="24" t="n"/>
      <c r="I1" s="23" t="n"/>
      <c r="J1" s="11" t="inlineStr">
        <is>
          <t>Instagram</t>
        </is>
      </c>
      <c r="K1" s="24" t="n"/>
      <c r="L1" s="24" t="n"/>
      <c r="M1" s="24" t="n"/>
      <c r="N1" s="24" t="n"/>
      <c r="O1" s="24" t="n"/>
      <c r="P1" s="23" t="n"/>
      <c r="Q1" s="12" t="inlineStr">
        <is>
          <t>YouTube</t>
        </is>
      </c>
      <c r="R1" s="24" t="n"/>
      <c r="S1" s="24" t="n"/>
      <c r="T1" s="24" t="n"/>
      <c r="U1" s="24" t="n"/>
      <c r="V1" s="24" t="n"/>
      <c r="W1" s="23" t="n"/>
      <c r="X1" s="13" t="inlineStr">
        <is>
          <t>商業規模</t>
        </is>
      </c>
      <c r="Y1" s="24" t="n"/>
      <c r="Z1" s="24" t="n"/>
      <c r="AA1" s="23" t="n"/>
      <c r="AB1" t="inlineStr">
        <is>
          <t>發文頻率</t>
        </is>
      </c>
    </row>
    <row r="2" ht="40" customHeight="1">
      <c r="A2" s="14" t="inlineStr">
        <is>
          <t>品牌名稱</t>
        </is>
      </c>
      <c r="B2" s="14" t="inlineStr">
        <is>
          <t>官網</t>
        </is>
      </c>
      <c r="C2" s="15" t="inlineStr">
        <is>
          <t>FB 粉絲數</t>
        </is>
      </c>
      <c r="D2" s="15" t="inlineStr">
        <is>
          <t>FB 近期均讚
(最近10篇)</t>
        </is>
      </c>
      <c r="E2" s="15" t="inlineStr">
        <is>
          <t>FB 近期均留言
(最近10篇)</t>
        </is>
      </c>
      <c r="F2" s="15" t="inlineStr">
        <is>
          <t>FB 近期互動率</t>
        </is>
      </c>
      <c r="G2" s="15" t="inlineStr">
        <is>
          <t>FB 熱門均讚
(最熱門10篇)</t>
        </is>
      </c>
      <c r="H2" s="15" t="inlineStr">
        <is>
          <t>FB 熱門均留言
(最熱門10篇)</t>
        </is>
      </c>
      <c r="I2" s="15" t="inlineStr">
        <is>
          <t>FB 熱門互動率</t>
        </is>
      </c>
      <c r="J2" s="16" t="inlineStr">
        <is>
          <t>IG 粉絲數</t>
        </is>
      </c>
      <c r="K2" s="16" t="inlineStr">
        <is>
          <t>IG 近期均讚
(最近10篇)</t>
        </is>
      </c>
      <c r="L2" s="16" t="inlineStr">
        <is>
          <t>IG 近期均留言
(最近10篇)</t>
        </is>
      </c>
      <c r="M2" s="16" t="inlineStr">
        <is>
          <t>IG 近期互動率</t>
        </is>
      </c>
      <c r="N2" s="16" t="inlineStr">
        <is>
          <t>IG 熱門均讚
(最熱門10篇)</t>
        </is>
      </c>
      <c r="O2" s="16" t="inlineStr">
        <is>
          <t>IG 熱門均留言
(最熱門10篇)</t>
        </is>
      </c>
      <c r="P2" s="16" t="inlineStr">
        <is>
          <t>IG 熱門互動率</t>
        </is>
      </c>
      <c r="Q2" s="17" t="inlineStr">
        <is>
          <t>YT 訂閱數</t>
        </is>
      </c>
      <c r="R2" s="17" t="inlineStr">
        <is>
          <t>YT 近期均觀看
(最近10篇)</t>
        </is>
      </c>
      <c r="S2" s="17" t="inlineStr">
        <is>
          <t>YT 近期均讚
(最近10篇)</t>
        </is>
      </c>
      <c r="T2" s="17" t="inlineStr">
        <is>
          <t>YT 近期互動率
(讚/觀看)</t>
        </is>
      </c>
      <c r="U2" s="17" t="inlineStr">
        <is>
          <t>YT 熱門均觀看
(最熱門10篇)</t>
        </is>
      </c>
      <c r="V2" s="17" t="inlineStr">
        <is>
          <t>YT 熱門均讚
(最熱門10篇)</t>
        </is>
      </c>
      <c r="W2" s="17" t="inlineStr">
        <is>
          <t>YT 熱門互動率
(讚/觀看)</t>
        </is>
      </c>
      <c r="X2" s="18" t="inlineStr">
        <is>
          <t>有無投放廣告</t>
        </is>
      </c>
      <c r="Y2" s="18" t="inlineStr">
        <is>
          <t>廣告預算規模</t>
        </is>
      </c>
      <c r="Z2" s="18" t="inlineStr">
        <is>
          <t>財報／銷售額</t>
        </is>
      </c>
      <c r="AA2" s="18" t="inlineStr">
        <is>
          <t>備註</t>
        </is>
      </c>
      <c r="AB2" t="inlineStr">
        <is>
          <t>FB 發文頻率</t>
        </is>
      </c>
      <c r="AC2" t="inlineStr">
        <is>
          <t>IG 發文頻率</t>
        </is>
      </c>
    </row>
    <row r="3">
      <c r="A3" s="3" t="inlineStr">
        <is>
          <t>東區德</t>
        </is>
      </c>
      <c r="B3" s="3" t="inlineStr">
        <is>
          <t>https://dio3212.kaik.io</t>
        </is>
      </c>
      <c r="C3" s="19" t="n">
        <v>123</v>
      </c>
      <c r="D3" s="19" t="n">
        <v>20240323</v>
      </c>
      <c r="E3" s="19" t="n">
        <v>111</v>
      </c>
      <c r="F3" s="20">
        <f>IFERROR((D3+E3)/C3,"–")</f>
        <v/>
      </c>
      <c r="G3" s="19" t="n"/>
      <c r="H3" s="19" t="n"/>
      <c r="I3" s="20">
        <f>IFERROR((G3+H3)/C3,"–")</f>
        <v/>
      </c>
      <c r="J3" s="19" t="n"/>
      <c r="K3" s="19" t="n"/>
      <c r="L3" s="19" t="n"/>
      <c r="M3" s="20">
        <f>IFERROR((K3+L3)/J3,"–")</f>
        <v/>
      </c>
      <c r="N3" s="19" t="n"/>
      <c r="O3" s="19" t="n"/>
      <c r="P3" s="20">
        <f>IFERROR((N3+O3)/J3,"–")</f>
        <v/>
      </c>
      <c r="Q3" s="19" t="n">
        <v>23100</v>
      </c>
      <c r="R3" s="19" t="n">
        <v>1171</v>
      </c>
      <c r="S3" s="19" t="n">
        <v>0</v>
      </c>
      <c r="T3" s="20" t="n">
        <v>0</v>
      </c>
      <c r="U3" s="19" t="n">
        <v>222852</v>
      </c>
      <c r="V3" s="19" t="n">
        <v>2976</v>
      </c>
      <c r="W3" s="20" t="n">
        <v>0.0134</v>
      </c>
      <c r="X3" s="2" t="n"/>
      <c r="Y3" s="2" t="n"/>
      <c r="Z3" s="2" t="n"/>
      <c r="AA3" s="2" t="n"/>
    </row>
    <row r="4">
      <c r="A4" s="6" t="inlineStr">
        <is>
          <t>UC Training</t>
        </is>
      </c>
      <c r="B4" s="6" t="inlineStr">
        <is>
          <t>https://uctraining.cc</t>
        </is>
      </c>
      <c r="C4" s="21" t="n"/>
      <c r="D4" s="21" t="n"/>
      <c r="E4" s="21" t="n"/>
      <c r="F4" s="22">
        <f>IFERROR((D4+E4)/C4,"–")</f>
        <v/>
      </c>
      <c r="G4" s="21" t="n"/>
      <c r="H4" s="21" t="n"/>
      <c r="I4" s="22">
        <f>IFERROR((G4+H4)/C4,"–")</f>
        <v/>
      </c>
      <c r="J4" s="21" t="n"/>
      <c r="K4" s="21" t="n"/>
      <c r="L4" s="21" t="n"/>
      <c r="M4" s="22">
        <f>IFERROR((K4+L4)/J4,"–")</f>
        <v/>
      </c>
      <c r="N4" s="21" t="n"/>
      <c r="O4" s="21" t="n"/>
      <c r="P4" s="22">
        <f>IFERROR((N4+O4)/J4,"–")</f>
        <v/>
      </c>
      <c r="Q4" s="21" t="n">
        <v>861</v>
      </c>
      <c r="R4" s="21" t="n">
        <v>1530</v>
      </c>
      <c r="S4" s="21" t="n">
        <v>17</v>
      </c>
      <c r="T4" s="22" t="n">
        <v>0.0111</v>
      </c>
      <c r="U4" s="21" t="n">
        <v>1530</v>
      </c>
      <c r="V4" s="21" t="n">
        <v>17</v>
      </c>
      <c r="W4" s="22" t="n">
        <v>0.0111</v>
      </c>
      <c r="X4" s="5" t="n"/>
      <c r="Y4" s="5" t="n"/>
      <c r="Z4" s="5" t="n"/>
      <c r="AA4" s="5" t="n"/>
    </row>
    <row r="5">
      <c r="A5" s="3" t="inlineStr">
        <is>
          <t>斑馬兩性</t>
        </is>
      </c>
      <c r="B5" s="3" t="inlineStr">
        <is>
          <t>https://zebrapua.com</t>
        </is>
      </c>
      <c r="C5" s="19" t="n"/>
      <c r="D5" s="19" t="n"/>
      <c r="E5" s="19" t="n"/>
      <c r="F5" s="20">
        <f>IFERROR((D5+E5)/C5,"–")</f>
        <v/>
      </c>
      <c r="G5" s="19" t="n"/>
      <c r="H5" s="19" t="n"/>
      <c r="I5" s="20">
        <f>IFERROR((G5+H5)/C5,"–")</f>
        <v/>
      </c>
      <c r="J5" s="19" t="n"/>
      <c r="K5" s="19" t="n"/>
      <c r="L5" s="19" t="n"/>
      <c r="M5" s="20">
        <f>IFERROR((K5+L5)/J5,"–")</f>
        <v/>
      </c>
      <c r="N5" s="19" t="n"/>
      <c r="O5" s="19" t="n"/>
      <c r="P5" s="20">
        <f>IFERROR((N5+O5)/J5,"–")</f>
        <v/>
      </c>
      <c r="Q5" s="19" t="n">
        <v>96</v>
      </c>
      <c r="R5" s="19" t="n">
        <v>0</v>
      </c>
      <c r="S5" s="19" t="n">
        <v>0</v>
      </c>
      <c r="T5" s="20" t="n">
        <v>0</v>
      </c>
      <c r="U5" s="19" t="n">
        <v>0</v>
      </c>
      <c r="V5" s="19" t="n">
        <v>0</v>
      </c>
      <c r="W5" s="20" t="n">
        <v>0</v>
      </c>
      <c r="X5" s="2" t="n"/>
      <c r="Y5" s="2" t="n"/>
      <c r="Z5" s="2" t="n"/>
      <c r="AA5" s="2" t="n"/>
    </row>
    <row r="6">
      <c r="A6" s="6" t="inlineStr">
        <is>
          <t>想想交友</t>
        </is>
      </c>
      <c r="B6" s="6" t="inlineStr">
        <is>
          <t>https://flowgalaxy.tw</t>
        </is>
      </c>
      <c r="C6" s="21" t="n"/>
      <c r="D6" s="21" t="n"/>
      <c r="E6" s="21" t="n"/>
      <c r="F6" s="22">
        <f>IFERROR((D6+E6)/C6,"–")</f>
        <v/>
      </c>
      <c r="G6" s="21" t="n"/>
      <c r="H6" s="21" t="n"/>
      <c r="I6" s="22">
        <f>IFERROR((G6+H6)/C6,"–")</f>
        <v/>
      </c>
      <c r="J6" s="21" t="n"/>
      <c r="K6" s="21" t="n"/>
      <c r="L6" s="21" t="n"/>
      <c r="M6" s="22">
        <f>IFERROR((K6+L6)/J6,"–")</f>
        <v/>
      </c>
      <c r="N6" s="21" t="n"/>
      <c r="O6" s="21" t="n"/>
      <c r="P6" s="22">
        <f>IFERROR((N6+O6)/J6,"–")</f>
        <v/>
      </c>
      <c r="Q6" s="21" t="n">
        <v>270</v>
      </c>
      <c r="R6" s="21" t="n">
        <v>917</v>
      </c>
      <c r="S6" s="21" t="n">
        <v>3</v>
      </c>
      <c r="T6" s="22" t="n">
        <v>0.0033</v>
      </c>
      <c r="U6" s="21" t="n">
        <v>6745</v>
      </c>
      <c r="V6" s="21" t="n">
        <v>14</v>
      </c>
      <c r="W6" s="22" t="n">
        <v>0.0021</v>
      </c>
      <c r="X6" s="5" t="n"/>
      <c r="Y6" s="5" t="n"/>
      <c r="Z6" s="5" t="n"/>
      <c r="AA6" s="5" t="n"/>
    </row>
    <row r="7">
      <c r="A7" s="3" t="inlineStr">
        <is>
          <t>戀愛生活圈</t>
        </is>
      </c>
      <c r="B7" s="3" t="inlineStr">
        <is>
          <t>https://blog.uctraining.cc</t>
        </is>
      </c>
      <c r="C7" s="19" t="n"/>
      <c r="D7" s="19" t="n"/>
      <c r="E7" s="19" t="n"/>
      <c r="F7" s="20">
        <f>IFERROR((D7+E7)/C7,"–")</f>
        <v/>
      </c>
      <c r="G7" s="19" t="n"/>
      <c r="H7" s="19" t="n"/>
      <c r="I7" s="20">
        <f>IFERROR((G7+H7)/C7,"–")</f>
        <v/>
      </c>
      <c r="J7" s="19" t="n"/>
      <c r="K7" s="19" t="n"/>
      <c r="L7" s="19" t="n"/>
      <c r="M7" s="20">
        <f>IFERROR((K7+L7)/J7,"–")</f>
        <v/>
      </c>
      <c r="N7" s="19" t="n"/>
      <c r="O7" s="19" t="n"/>
      <c r="P7" s="20">
        <f>IFERROR((N7+O7)/J7,"–")</f>
        <v/>
      </c>
      <c r="Q7" s="19" t="n">
        <v>74200</v>
      </c>
      <c r="R7" s="19" t="n">
        <v>19012</v>
      </c>
      <c r="S7" s="19" t="n">
        <v>230</v>
      </c>
      <c r="T7" s="20" t="n">
        <v>0.0121</v>
      </c>
      <c r="U7" s="19" t="n">
        <v>320599</v>
      </c>
      <c r="V7" s="19" t="n">
        <v>2897</v>
      </c>
      <c r="W7" s="20" t="n">
        <v>0.008999999999999999</v>
      </c>
      <c r="X7" s="2" t="n"/>
      <c r="Y7" s="2" t="n"/>
      <c r="Z7" s="2" t="n"/>
      <c r="AA7" s="2" t="n"/>
    </row>
  </sheetData>
  <mergeCells count="5">
    <mergeCell ref="J1:P1"/>
    <mergeCell ref="C1:I1"/>
    <mergeCell ref="Q1:W1"/>
    <mergeCell ref="X1:AA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2026-04-01T08:35:48Z</dcterms:created>
  <dcterms:modified xmlns:dcterms="http://purl.org/dc/terms/" xmlns:xsi="http://www.w3.org/2001/XMLSchema-instance" xsi:type="dcterms:W3CDTF">2026-04-01T12:02:42Z</dcterms:modified>
</cp:coreProperties>
</file>